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lik bruker du malen" sheetId="1" state="visible" r:id="rId1"/>
    <sheet xmlns:r="http://schemas.openxmlformats.org/officeDocument/2006/relationships" name="Svar" sheetId="2" state="visible" r:id="rId2"/>
    <sheet xmlns:r="http://schemas.openxmlformats.org/officeDocument/2006/relationships" name="Oppsumme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91510"/>
      <sz val="18"/>
    </font>
    <font>
      <name val="Calibri"/>
      <color rgb="003A342A"/>
      <sz val="11"/>
    </font>
    <font>
      <name val="Calibri"/>
      <b val="1"/>
      <color rgb="00191510"/>
      <sz val="13"/>
    </font>
    <font>
      <name val="Calibri"/>
      <i val="1"/>
      <color rgb="005F5849"/>
      <sz val="9"/>
    </font>
    <font>
      <name val="Calibri"/>
      <color rgb="005F5849"/>
      <sz val="11"/>
    </font>
    <font>
      <name val="Calibri"/>
      <b val="1"/>
      <color rgb="00191510"/>
    </font>
    <font>
      <color rgb="005F5849"/>
    </font>
    <font>
      <name val="Calibri"/>
      <b val="1"/>
      <color rgb="00FFFFFF"/>
    </font>
    <font>
      <name val="Calibri"/>
      <color rgb="003A342A"/>
    </font>
  </fonts>
  <fills count="4">
    <fill>
      <patternFill/>
    </fill>
    <fill>
      <patternFill patternType="gray125"/>
    </fill>
    <fill>
      <patternFill patternType="solid">
        <fgColor rgb="00FBEBBE"/>
      </patternFill>
    </fill>
    <fill>
      <patternFill patternType="solid">
        <fgColor rgb="00191510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bottom" textRotation="90" wrapText="1"/>
    </xf>
    <xf numFmtId="0" fontId="7" fillId="0" borderId="0" pivotButton="0" quotePrefix="0" xfId="0"/>
    <xf numFmtId="0" fontId="8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9" fontId="9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BD5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showGridLines="0" workbookViewId="0">
      <selection activeCell="A1" sqref="A1"/>
    </sheetView>
  </sheetViews>
  <sheetFormatPr baseColWidth="8" defaultRowHeight="15"/>
  <cols>
    <col width="86" customWidth="1" min="1" max="1"/>
  </cols>
  <sheetData>
    <row r="1" ht="30" customHeight="1">
      <c r="A1" s="1" t="inlineStr">
        <is>
          <t>QPSNordic 34+ – svarregistrering</t>
        </is>
      </c>
    </row>
    <row r="3" ht="49" customHeight="1">
      <c r="A3" s="2" t="inlineStr">
        <is>
          <t>Registrer svarene fra papirskjemaene på arket «Svar»: én rad per skjema, ett tall fra 1 til 5 per spørsmål. La cellen stå tom hvis spørsmålet ikke er besvart. Arket «Oppsummering» regner ut resten.</t>
        </is>
      </c>
    </row>
    <row r="4">
      <c r="A4" s="3" t="inlineStr">
        <is>
          <t>Før dere ser på tallene</t>
        </is>
      </c>
    </row>
    <row r="5" ht="19" customHeight="1"/>
    <row r="6" ht="34" customHeight="1">
      <c r="A6" s="2" t="inlineStr">
        <is>
          <t>•  Veiledningen anbefaler ikke statistiske analyser for grupper under 10 personer. Oppsummeringen viser derfor ingenting før minst 10 har svart.</t>
        </is>
      </c>
    </row>
    <row r="7" ht="34" customHeight="1">
      <c r="A7" s="2" t="inlineStr">
        <is>
          <t>•  For 10–20 personer anbefales middelverdi og median, og svarene slått sammen til tre kategorier: 1–2, 3 og 4–5. Det er det oppsummeringen viser.</t>
        </is>
      </c>
    </row>
    <row r="8" ht="34" customHeight="1">
      <c r="A8" s="2" t="inlineStr">
        <is>
          <t>•  Kortversjonen har ingen skalaer, og testingen av validitet og reliabilitet gjelder ikke for den. Se på spørsmålene ett og ett.</t>
        </is>
      </c>
    </row>
    <row r="9" ht="34" customHeight="1">
      <c r="A9" s="2" t="inlineStr">
        <is>
          <t>•  Ikke registrer navn eller noe annet som kan knytte et skjema til en person. Oppbevar papirskjemaene innelåst, og makuler dem når svarene er registrert.</t>
        </is>
      </c>
    </row>
    <row r="10" ht="49" customHeight="1">
      <c r="A10" s="2" t="inlineStr">
        <is>
          <t>•  Høy verdi betyr «ofte» eller «mye» – det er bra på noen spørsmål (for eksempel nr. 17, støtte fra kollegaer) og dårlig på andre (for eksempel nr. 2, for mye å gjøre).</t>
        </is>
      </c>
    </row>
    <row r="11" ht="64" customHeight="1">
      <c r="A11" s="4" t="inlineStr">
        <is>
          <t>Kilde: Skogstad, A., Knardahl, S., Lindström, K., Elo, A.-L., Dallner, M., Gamberale, F., Hottinen, V. og Ørhede, E. (2001). Brukerveiledning QPSNordic. Generelt spørreskjema for psykologiske og sosiale faktorer i arbeid. STAMI-rapport årg. 2, nr. 1. Oslo: Statens arbeidsmiljøinstitutt. Vedlegg 2, s. 36–38.</t>
        </is>
      </c>
    </row>
    <row r="13">
      <c r="A13" s="5" t="inlineStr">
        <is>
          <t>Laget av Orgpuls · orgpuls.no · Fri til bruk i egen virksomhet. Malen er et hjelpemiddel, ikke juridisk rådgivning.</t>
        </is>
      </c>
    </row>
  </sheetData>
  <mergeCells count="1">
    <mergeCell ref="A1"/>
  </mergeCells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L3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</cols>
  <sheetData>
    <row r="1" ht="30" customHeight="1">
      <c r="A1" s="1" t="inlineStr">
        <is>
          <t>Svar</t>
        </is>
      </c>
    </row>
    <row r="2" ht="32" customHeight="1">
      <c r="A2" s="6" t="inlineStr">
        <is>
          <t>Én rad per skjema. Tall fra 1 til 5; tomt hvis ubesvart.</t>
        </is>
      </c>
    </row>
    <row r="4" ht="120" customHeight="1">
      <c r="A4" s="7" t="inlineStr">
        <is>
          <t>Skjema</t>
        </is>
      </c>
      <c r="B4" s="8" t="inlineStr">
        <is>
          <t>1. Er arbeidsmengden din ujevn slik at den hoper seg opp?</t>
        </is>
      </c>
      <c r="C4" s="8" t="inlineStr">
        <is>
          <t>2. Har du for mye å gjøre?</t>
        </is>
      </c>
      <c r="D4" s="8" t="inlineStr">
        <is>
          <t>3. Er arbeidsoppgavene for vanskelige for deg?</t>
        </is>
      </c>
      <c r="E4" s="8" t="inlineStr">
        <is>
          <t>4. Utfører du arbeidsoppgaver som du trenger mer opplæring for å gjøre?</t>
        </is>
      </c>
      <c r="F4" s="8" t="inlineStr">
        <is>
          <t>5. Er dine spesialkunnskaper og ferdigheter nyttige i arbeidet ditt?</t>
        </is>
      </c>
      <c r="G4" s="8" t="inlineStr">
        <is>
          <t>6. Er arbeidet ditt utfordrende på en positiv måte?</t>
        </is>
      </c>
      <c r="H4" s="8" t="inlineStr">
        <is>
          <t>7. Er det fastsatt klare mål for din jobb?</t>
        </is>
      </c>
      <c r="I4" s="8" t="inlineStr">
        <is>
          <t>8. Vet du nøyaktig hva som forventes av deg i jobben?</t>
        </is>
      </c>
      <c r="J4" s="8" t="inlineStr">
        <is>
          <t>9. Mottar du motstridende forespørsler fra to eller flere personer?</t>
        </is>
      </c>
      <c r="K4" s="8" t="inlineStr">
        <is>
          <t>10. Kan du påvirke mengden av arbeid som blir tildelt deg?</t>
        </is>
      </c>
      <c r="L4" s="8" t="inlineStr">
        <is>
          <t>11. Kan du selv bestemme ditt arbeidstempo?</t>
        </is>
      </c>
      <c r="M4" s="8" t="inlineStr">
        <is>
          <t>12. Kan du selv bestemme når du skal ta pauser?</t>
        </is>
      </c>
      <c r="N4" s="8" t="inlineStr">
        <is>
          <t>13. Kan du påvirke beslutninger som er viktige for ditt arbeid?</t>
        </is>
      </c>
      <c r="O4" s="8" t="inlineStr">
        <is>
          <t>14. Vet du hva slags oppgaver du kan få en måned frem i tiden?</t>
        </is>
      </c>
      <c r="P4" s="8" t="inlineStr">
        <is>
          <t>15. Går det rykter om forandringer på din arbeidsplass?</t>
        </is>
      </c>
      <c r="Q4" s="8" t="inlineStr">
        <is>
          <t>16. Er du fornøyd med din evne til å løse problemer som dukker opp i arbeidet?</t>
        </is>
      </c>
      <c r="R4" s="8" t="inlineStr">
        <is>
          <t>17. Om du trenger det, kan du få støtte og hjelp i ditt arbeid fra dine kollegaer?</t>
        </is>
      </c>
      <c r="S4" s="8" t="inlineStr">
        <is>
          <t>18. Om du trenger det, kan du få støtte og hjelp i ditt arbeid fra din nærmeste sjef?</t>
        </is>
      </c>
      <c r="T4" s="8" t="inlineStr">
        <is>
          <t>19. Blir dine arbeidsresultater verdsatt av din nærmeste sjef?</t>
        </is>
      </c>
      <c r="U4" s="8" t="inlineStr">
        <is>
          <t>20. Oppmuntrer din nærmeste sjef deg til å delta i viktige avgjørelser?</t>
        </is>
      </c>
      <c r="V4" s="8" t="inlineStr">
        <is>
          <t>21. Hjelper din nærmeste sjef deg med å utvikle dine ferdigheter?</t>
        </is>
      </c>
      <c r="W4" s="8" t="inlineStr">
        <is>
          <t>22. Føler du at du kan stole på at venner og familie vil støtte deg hvis det blir vanskelig på jobben?</t>
        </is>
      </c>
      <c r="X4" s="8" t="inlineStr">
        <is>
          <t>23. Oppmuntrende og bemyndigende</t>
        </is>
      </c>
      <c r="Y4" s="8" t="inlineStr">
        <is>
          <t>24. Avslappet og behagelig</t>
        </is>
      </c>
      <c r="Z4" s="8" t="inlineStr">
        <is>
          <t>25. Stivbent og regelstyrt</t>
        </is>
      </c>
      <c r="AA4" s="8" t="inlineStr">
        <is>
          <t>26. Setter du pris på å være medlem av arbeidsgruppen?</t>
        </is>
      </c>
      <c r="AB4" s="8" t="inlineStr">
        <is>
          <t>27. Er gruppen din dyktig til å løse problemer?</t>
        </is>
      </c>
      <c r="AC4" s="8" t="inlineStr">
        <is>
          <t>28. Blir de ansatte oppmuntret til å tenke ut måter for å gjøre tingene bedre på, på ditt arbeidssted?</t>
        </is>
      </c>
      <c r="AD4" s="8" t="inlineStr">
        <is>
          <t>29. Er det god nok kommunikasjon i din avdeling?</t>
        </is>
      </c>
      <c r="AE4" s="8" t="inlineStr">
        <is>
          <t>30. Har du lagt merke til forstyrrende konflikter mellom arbeidskollegaer?</t>
        </is>
      </c>
      <c r="AF4" s="8" t="inlineStr">
        <is>
          <t>31. Har du lagt merke til om menn og kvinner blir behandlet ulikt på arbeidsstedet ditt?</t>
        </is>
      </c>
      <c r="AG4" s="8" t="inlineStr">
        <is>
          <t>32. Har du lagt merke til om eldre og yngre arbeidstakere blir behandlet ulikt på arbeidsstedet ditt?</t>
        </is>
      </c>
      <c r="AH4" s="8" t="inlineStr">
        <is>
          <t>33. Får du belønning for velgjort arbeid i din bedrift/virksomhet (penger, oppmuntring)?</t>
        </is>
      </c>
      <c r="AI4" s="8" t="inlineStr">
        <is>
          <t>34. Hvor meget er ledelsen i din bedrift/virksomhet opptatt av den ansattes helse og velvære?</t>
        </is>
      </c>
      <c r="AJ4" s="8" t="inlineStr">
        <is>
          <t>35. Jeg liker å være opptatt av jobben min mesteparten av tiden.</t>
        </is>
      </c>
      <c r="AK4" s="8" t="inlineStr">
        <is>
          <t>36. Den største tilfredsstillelsen i mitt liv kommer fra jobben.</t>
        </is>
      </c>
      <c r="AL4" s="8" t="inlineStr">
        <is>
          <t>37. Føler du denne typen stress nå for tiden?</t>
        </is>
      </c>
    </row>
    <row r="5">
      <c r="A5" s="9" t="n">
        <v>1</v>
      </c>
    </row>
    <row r="6">
      <c r="A6" s="9" t="n">
        <v>2</v>
      </c>
    </row>
    <row r="7">
      <c r="A7" s="9" t="n">
        <v>3</v>
      </c>
    </row>
    <row r="8">
      <c r="A8" s="9" t="n">
        <v>4</v>
      </c>
    </row>
    <row r="9">
      <c r="A9" s="9" t="n">
        <v>5</v>
      </c>
    </row>
    <row r="10">
      <c r="A10" s="9" t="n">
        <v>6</v>
      </c>
    </row>
    <row r="11">
      <c r="A11" s="9" t="n">
        <v>7</v>
      </c>
    </row>
    <row r="12">
      <c r="A12" s="9" t="n">
        <v>8</v>
      </c>
    </row>
    <row r="13">
      <c r="A13" s="9" t="n">
        <v>9</v>
      </c>
    </row>
    <row r="14">
      <c r="A14" s="9" t="n">
        <v>10</v>
      </c>
    </row>
    <row r="15">
      <c r="A15" s="9" t="n">
        <v>11</v>
      </c>
    </row>
    <row r="16">
      <c r="A16" s="9" t="n">
        <v>12</v>
      </c>
    </row>
    <row r="17">
      <c r="A17" s="9" t="n">
        <v>13</v>
      </c>
    </row>
    <row r="18">
      <c r="A18" s="9" t="n">
        <v>14</v>
      </c>
    </row>
    <row r="19">
      <c r="A19" s="9" t="n">
        <v>15</v>
      </c>
    </row>
    <row r="20">
      <c r="A20" s="9" t="n">
        <v>16</v>
      </c>
    </row>
    <row r="21">
      <c r="A21" s="9" t="n">
        <v>17</v>
      </c>
    </row>
    <row r="22">
      <c r="A22" s="9" t="n">
        <v>18</v>
      </c>
    </row>
    <row r="23">
      <c r="A23" s="9" t="n">
        <v>19</v>
      </c>
    </row>
    <row r="24">
      <c r="A24" s="9" t="n">
        <v>20</v>
      </c>
    </row>
    <row r="25">
      <c r="A25" s="9" t="n">
        <v>21</v>
      </c>
    </row>
    <row r="26">
      <c r="A26" s="9" t="n">
        <v>22</v>
      </c>
    </row>
    <row r="27">
      <c r="A27" s="9" t="n">
        <v>23</v>
      </c>
    </row>
    <row r="28">
      <c r="A28" s="9" t="n">
        <v>24</v>
      </c>
    </row>
    <row r="29">
      <c r="A29" s="9" t="n">
        <v>25</v>
      </c>
    </row>
    <row r="30">
      <c r="A30" s="9" t="n">
        <v>26</v>
      </c>
    </row>
    <row r="31">
      <c r="A31" s="9" t="n">
        <v>27</v>
      </c>
    </row>
    <row r="32">
      <c r="A32" s="9" t="n">
        <v>28</v>
      </c>
    </row>
    <row r="33">
      <c r="A33" s="9" t="n">
        <v>29</v>
      </c>
    </row>
    <row r="34">
      <c r="A34" s="9" t="n">
        <v>30</v>
      </c>
    </row>
    <row r="35">
      <c r="A35" s="9" t="n">
        <v>31</v>
      </c>
    </row>
    <row r="36">
      <c r="A36" s="9" t="n">
        <v>32</v>
      </c>
    </row>
    <row r="37">
      <c r="A37" s="9" t="n">
        <v>33</v>
      </c>
    </row>
    <row r="38">
      <c r="A38" s="9" t="n">
        <v>34</v>
      </c>
    </row>
    <row r="39">
      <c r="A39" s="9" t="n">
        <v>35</v>
      </c>
    </row>
    <row r="40">
      <c r="A40" s="9" t="n">
        <v>36</v>
      </c>
    </row>
    <row r="41">
      <c r="A41" s="9" t="n">
        <v>37</v>
      </c>
    </row>
    <row r="42">
      <c r="A42" s="9" t="n">
        <v>38</v>
      </c>
    </row>
    <row r="43">
      <c r="A43" s="9" t="n">
        <v>39</v>
      </c>
    </row>
    <row r="44">
      <c r="A44" s="9" t="n">
        <v>40</v>
      </c>
    </row>
    <row r="45">
      <c r="A45" s="9" t="n">
        <v>41</v>
      </c>
    </row>
    <row r="46">
      <c r="A46" s="9" t="n">
        <v>42</v>
      </c>
    </row>
    <row r="47">
      <c r="A47" s="9" t="n">
        <v>43</v>
      </c>
    </row>
    <row r="48">
      <c r="A48" s="9" t="n">
        <v>44</v>
      </c>
    </row>
    <row r="49">
      <c r="A49" s="9" t="n">
        <v>45</v>
      </c>
    </row>
    <row r="50">
      <c r="A50" s="9" t="n">
        <v>46</v>
      </c>
    </row>
    <row r="51">
      <c r="A51" s="9" t="n">
        <v>47</v>
      </c>
    </row>
    <row r="52">
      <c r="A52" s="9" t="n">
        <v>48</v>
      </c>
    </row>
    <row r="53">
      <c r="A53" s="9" t="n">
        <v>49</v>
      </c>
    </row>
    <row r="54">
      <c r="A54" s="9" t="n">
        <v>50</v>
      </c>
    </row>
    <row r="55">
      <c r="A55" s="9" t="n">
        <v>51</v>
      </c>
    </row>
    <row r="56">
      <c r="A56" s="9" t="n">
        <v>52</v>
      </c>
    </row>
    <row r="57">
      <c r="A57" s="9" t="n">
        <v>53</v>
      </c>
    </row>
    <row r="58">
      <c r="A58" s="9" t="n">
        <v>54</v>
      </c>
    </row>
    <row r="59">
      <c r="A59" s="9" t="n">
        <v>55</v>
      </c>
    </row>
    <row r="60">
      <c r="A60" s="9" t="n">
        <v>56</v>
      </c>
    </row>
    <row r="61">
      <c r="A61" s="9" t="n">
        <v>57</v>
      </c>
    </row>
    <row r="62">
      <c r="A62" s="9" t="n">
        <v>58</v>
      </c>
    </row>
    <row r="63">
      <c r="A63" s="9" t="n">
        <v>59</v>
      </c>
    </row>
    <row r="64">
      <c r="A64" s="9" t="n">
        <v>60</v>
      </c>
    </row>
    <row r="65">
      <c r="A65" s="9" t="n">
        <v>61</v>
      </c>
    </row>
    <row r="66">
      <c r="A66" s="9" t="n">
        <v>62</v>
      </c>
    </row>
    <row r="67">
      <c r="A67" s="9" t="n">
        <v>63</v>
      </c>
    </row>
    <row r="68">
      <c r="A68" s="9" t="n">
        <v>64</v>
      </c>
    </row>
    <row r="69">
      <c r="A69" s="9" t="n">
        <v>65</v>
      </c>
    </row>
    <row r="70">
      <c r="A70" s="9" t="n">
        <v>66</v>
      </c>
    </row>
    <row r="71">
      <c r="A71" s="9" t="n">
        <v>67</v>
      </c>
    </row>
    <row r="72">
      <c r="A72" s="9" t="n">
        <v>68</v>
      </c>
    </row>
    <row r="73">
      <c r="A73" s="9" t="n">
        <v>69</v>
      </c>
    </row>
    <row r="74">
      <c r="A74" s="9" t="n">
        <v>70</v>
      </c>
    </row>
    <row r="75">
      <c r="A75" s="9" t="n">
        <v>71</v>
      </c>
    </row>
    <row r="76">
      <c r="A76" s="9" t="n">
        <v>72</v>
      </c>
    </row>
    <row r="77">
      <c r="A77" s="9" t="n">
        <v>73</v>
      </c>
    </row>
    <row r="78">
      <c r="A78" s="9" t="n">
        <v>74</v>
      </c>
    </row>
    <row r="79">
      <c r="A79" s="9" t="n">
        <v>75</v>
      </c>
    </row>
    <row r="80">
      <c r="A80" s="9" t="n">
        <v>76</v>
      </c>
    </row>
    <row r="81">
      <c r="A81" s="9" t="n">
        <v>77</v>
      </c>
    </row>
    <row r="82">
      <c r="A82" s="9" t="n">
        <v>78</v>
      </c>
    </row>
    <row r="83">
      <c r="A83" s="9" t="n">
        <v>79</v>
      </c>
    </row>
    <row r="84">
      <c r="A84" s="9" t="n">
        <v>80</v>
      </c>
    </row>
    <row r="85">
      <c r="A85" s="9" t="n">
        <v>81</v>
      </c>
    </row>
    <row r="86">
      <c r="A86" s="9" t="n">
        <v>82</v>
      </c>
    </row>
    <row r="87">
      <c r="A87" s="9" t="n">
        <v>83</v>
      </c>
    </row>
    <row r="88">
      <c r="A88" s="9" t="n">
        <v>84</v>
      </c>
    </row>
    <row r="89">
      <c r="A89" s="9" t="n">
        <v>85</v>
      </c>
    </row>
    <row r="90">
      <c r="A90" s="9" t="n">
        <v>86</v>
      </c>
    </row>
    <row r="91">
      <c r="A91" s="9" t="n">
        <v>87</v>
      </c>
    </row>
    <row r="92">
      <c r="A92" s="9" t="n">
        <v>88</v>
      </c>
    </row>
    <row r="93">
      <c r="A93" s="9" t="n">
        <v>89</v>
      </c>
    </row>
    <row r="94">
      <c r="A94" s="9" t="n">
        <v>90</v>
      </c>
    </row>
    <row r="95">
      <c r="A95" s="9" t="n">
        <v>91</v>
      </c>
    </row>
    <row r="96">
      <c r="A96" s="9" t="n">
        <v>92</v>
      </c>
    </row>
    <row r="97">
      <c r="A97" s="9" t="n">
        <v>93</v>
      </c>
    </row>
    <row r="98">
      <c r="A98" s="9" t="n">
        <v>94</v>
      </c>
    </row>
    <row r="99">
      <c r="A99" s="9" t="n">
        <v>95</v>
      </c>
    </row>
    <row r="100">
      <c r="A100" s="9" t="n">
        <v>96</v>
      </c>
    </row>
    <row r="101">
      <c r="A101" s="9" t="n">
        <v>97</v>
      </c>
    </row>
    <row r="102">
      <c r="A102" s="9" t="n">
        <v>98</v>
      </c>
    </row>
    <row r="103">
      <c r="A103" s="9" t="n">
        <v>99</v>
      </c>
    </row>
    <row r="104">
      <c r="A104" s="9" t="n">
        <v>100</v>
      </c>
    </row>
    <row r="105">
      <c r="A105" s="9" t="n">
        <v>101</v>
      </c>
    </row>
    <row r="106">
      <c r="A106" s="9" t="n">
        <v>102</v>
      </c>
    </row>
    <row r="107">
      <c r="A107" s="9" t="n">
        <v>103</v>
      </c>
    </row>
    <row r="108">
      <c r="A108" s="9" t="n">
        <v>104</v>
      </c>
    </row>
    <row r="109">
      <c r="A109" s="9" t="n">
        <v>105</v>
      </c>
    </row>
    <row r="110">
      <c r="A110" s="9" t="n">
        <v>106</v>
      </c>
    </row>
    <row r="111">
      <c r="A111" s="9" t="n">
        <v>107</v>
      </c>
    </row>
    <row r="112">
      <c r="A112" s="9" t="n">
        <v>108</v>
      </c>
    </row>
    <row r="113">
      <c r="A113" s="9" t="n">
        <v>109</v>
      </c>
    </row>
    <row r="114">
      <c r="A114" s="9" t="n">
        <v>110</v>
      </c>
    </row>
    <row r="115">
      <c r="A115" s="9" t="n">
        <v>111</v>
      </c>
    </row>
    <row r="116">
      <c r="A116" s="9" t="n">
        <v>112</v>
      </c>
    </row>
    <row r="117">
      <c r="A117" s="9" t="n">
        <v>113</v>
      </c>
    </row>
    <row r="118">
      <c r="A118" s="9" t="n">
        <v>114</v>
      </c>
    </row>
    <row r="119">
      <c r="A119" s="9" t="n">
        <v>115</v>
      </c>
    </row>
    <row r="120">
      <c r="A120" s="9" t="n">
        <v>116</v>
      </c>
    </row>
    <row r="121">
      <c r="A121" s="9" t="n">
        <v>117</v>
      </c>
    </row>
    <row r="122">
      <c r="A122" s="9" t="n">
        <v>118</v>
      </c>
    </row>
    <row r="123">
      <c r="A123" s="9" t="n">
        <v>119</v>
      </c>
    </row>
    <row r="124">
      <c r="A124" s="9" t="n">
        <v>120</v>
      </c>
    </row>
    <row r="125">
      <c r="A125" s="9" t="n">
        <v>121</v>
      </c>
    </row>
    <row r="126">
      <c r="A126" s="9" t="n">
        <v>122</v>
      </c>
    </row>
    <row r="127">
      <c r="A127" s="9" t="n">
        <v>123</v>
      </c>
    </row>
    <row r="128">
      <c r="A128" s="9" t="n">
        <v>124</v>
      </c>
    </row>
    <row r="129">
      <c r="A129" s="9" t="n">
        <v>125</v>
      </c>
    </row>
    <row r="130">
      <c r="A130" s="9" t="n">
        <v>126</v>
      </c>
    </row>
    <row r="131">
      <c r="A131" s="9" t="n">
        <v>127</v>
      </c>
    </row>
    <row r="132">
      <c r="A132" s="9" t="n">
        <v>128</v>
      </c>
    </row>
    <row r="133">
      <c r="A133" s="9" t="n">
        <v>129</v>
      </c>
    </row>
    <row r="134">
      <c r="A134" s="9" t="n">
        <v>130</v>
      </c>
    </row>
    <row r="135">
      <c r="A135" s="9" t="n">
        <v>131</v>
      </c>
    </row>
    <row r="136">
      <c r="A136" s="9" t="n">
        <v>132</v>
      </c>
    </row>
    <row r="137">
      <c r="A137" s="9" t="n">
        <v>133</v>
      </c>
    </row>
    <row r="138">
      <c r="A138" s="9" t="n">
        <v>134</v>
      </c>
    </row>
    <row r="139">
      <c r="A139" s="9" t="n">
        <v>135</v>
      </c>
    </row>
    <row r="140">
      <c r="A140" s="9" t="n">
        <v>136</v>
      </c>
    </row>
    <row r="141">
      <c r="A141" s="9" t="n">
        <v>137</v>
      </c>
    </row>
    <row r="142">
      <c r="A142" s="9" t="n">
        <v>138</v>
      </c>
    </row>
    <row r="143">
      <c r="A143" s="9" t="n">
        <v>139</v>
      </c>
    </row>
    <row r="144">
      <c r="A144" s="9" t="n">
        <v>140</v>
      </c>
    </row>
    <row r="145">
      <c r="A145" s="9" t="n">
        <v>141</v>
      </c>
    </row>
    <row r="146">
      <c r="A146" s="9" t="n">
        <v>142</v>
      </c>
    </row>
    <row r="147">
      <c r="A147" s="9" t="n">
        <v>143</v>
      </c>
    </row>
    <row r="148">
      <c r="A148" s="9" t="n">
        <v>144</v>
      </c>
    </row>
    <row r="149">
      <c r="A149" s="9" t="n">
        <v>145</v>
      </c>
    </row>
    <row r="150">
      <c r="A150" s="9" t="n">
        <v>146</v>
      </c>
    </row>
    <row r="151">
      <c r="A151" s="9" t="n">
        <v>147</v>
      </c>
    </row>
    <row r="152">
      <c r="A152" s="9" t="n">
        <v>148</v>
      </c>
    </row>
    <row r="153">
      <c r="A153" s="9" t="n">
        <v>149</v>
      </c>
    </row>
    <row r="154">
      <c r="A154" s="9" t="n">
        <v>150</v>
      </c>
    </row>
    <row r="155">
      <c r="A155" s="9" t="n">
        <v>151</v>
      </c>
    </row>
    <row r="156">
      <c r="A156" s="9" t="n">
        <v>152</v>
      </c>
    </row>
    <row r="157">
      <c r="A157" s="9" t="n">
        <v>153</v>
      </c>
    </row>
    <row r="158">
      <c r="A158" s="9" t="n">
        <v>154</v>
      </c>
    </row>
    <row r="159">
      <c r="A159" s="9" t="n">
        <v>155</v>
      </c>
    </row>
    <row r="160">
      <c r="A160" s="9" t="n">
        <v>156</v>
      </c>
    </row>
    <row r="161">
      <c r="A161" s="9" t="n">
        <v>157</v>
      </c>
    </row>
    <row r="162">
      <c r="A162" s="9" t="n">
        <v>158</v>
      </c>
    </row>
    <row r="163">
      <c r="A163" s="9" t="n">
        <v>159</v>
      </c>
    </row>
    <row r="164">
      <c r="A164" s="9" t="n">
        <v>160</v>
      </c>
    </row>
    <row r="165">
      <c r="A165" s="9" t="n">
        <v>161</v>
      </c>
    </row>
    <row r="166">
      <c r="A166" s="9" t="n">
        <v>162</v>
      </c>
    </row>
    <row r="167">
      <c r="A167" s="9" t="n">
        <v>163</v>
      </c>
    </row>
    <row r="168">
      <c r="A168" s="9" t="n">
        <v>164</v>
      </c>
    </row>
    <row r="169">
      <c r="A169" s="9" t="n">
        <v>165</v>
      </c>
    </row>
    <row r="170">
      <c r="A170" s="9" t="n">
        <v>166</v>
      </c>
    </row>
    <row r="171">
      <c r="A171" s="9" t="n">
        <v>167</v>
      </c>
    </row>
    <row r="172">
      <c r="A172" s="9" t="n">
        <v>168</v>
      </c>
    </row>
    <row r="173">
      <c r="A173" s="9" t="n">
        <v>169</v>
      </c>
    </row>
    <row r="174">
      <c r="A174" s="9" t="n">
        <v>170</v>
      </c>
    </row>
    <row r="175">
      <c r="A175" s="9" t="n">
        <v>171</v>
      </c>
    </row>
    <row r="176">
      <c r="A176" s="9" t="n">
        <v>172</v>
      </c>
    </row>
    <row r="177">
      <c r="A177" s="9" t="n">
        <v>173</v>
      </c>
    </row>
    <row r="178">
      <c r="A178" s="9" t="n">
        <v>174</v>
      </c>
    </row>
    <row r="179">
      <c r="A179" s="9" t="n">
        <v>175</v>
      </c>
    </row>
    <row r="180">
      <c r="A180" s="9" t="n">
        <v>176</v>
      </c>
    </row>
    <row r="181">
      <c r="A181" s="9" t="n">
        <v>177</v>
      </c>
    </row>
    <row r="182">
      <c r="A182" s="9" t="n">
        <v>178</v>
      </c>
    </row>
    <row r="183">
      <c r="A183" s="9" t="n">
        <v>179</v>
      </c>
    </row>
    <row r="184">
      <c r="A184" s="9" t="n">
        <v>180</v>
      </c>
    </row>
    <row r="185">
      <c r="A185" s="9" t="n">
        <v>181</v>
      </c>
    </row>
    <row r="186">
      <c r="A186" s="9" t="n">
        <v>182</v>
      </c>
    </row>
    <row r="187">
      <c r="A187" s="9" t="n">
        <v>183</v>
      </c>
    </row>
    <row r="188">
      <c r="A188" s="9" t="n">
        <v>184</v>
      </c>
    </row>
    <row r="189">
      <c r="A189" s="9" t="n">
        <v>185</v>
      </c>
    </row>
    <row r="190">
      <c r="A190" s="9" t="n">
        <v>186</v>
      </c>
    </row>
    <row r="191">
      <c r="A191" s="9" t="n">
        <v>187</v>
      </c>
    </row>
    <row r="192">
      <c r="A192" s="9" t="n">
        <v>188</v>
      </c>
    </row>
    <row r="193">
      <c r="A193" s="9" t="n">
        <v>189</v>
      </c>
    </row>
    <row r="194">
      <c r="A194" s="9" t="n">
        <v>190</v>
      </c>
    </row>
    <row r="195">
      <c r="A195" s="9" t="n">
        <v>191</v>
      </c>
    </row>
    <row r="196">
      <c r="A196" s="9" t="n">
        <v>192</v>
      </c>
    </row>
    <row r="197">
      <c r="A197" s="9" t="n">
        <v>193</v>
      </c>
    </row>
    <row r="198">
      <c r="A198" s="9" t="n">
        <v>194</v>
      </c>
    </row>
    <row r="199">
      <c r="A199" s="9" t="n">
        <v>195</v>
      </c>
    </row>
    <row r="200">
      <c r="A200" s="9" t="n">
        <v>196</v>
      </c>
    </row>
    <row r="201">
      <c r="A201" s="9" t="n">
        <v>197</v>
      </c>
    </row>
    <row r="202">
      <c r="A202" s="9" t="n">
        <v>198</v>
      </c>
    </row>
    <row r="203">
      <c r="A203" s="9" t="n">
        <v>199</v>
      </c>
    </row>
    <row r="204">
      <c r="A204" s="9" t="n">
        <v>200</v>
      </c>
    </row>
    <row r="205">
      <c r="A205" s="9" t="n">
        <v>201</v>
      </c>
    </row>
    <row r="206">
      <c r="A206" s="9" t="n">
        <v>202</v>
      </c>
    </row>
    <row r="207">
      <c r="A207" s="9" t="n">
        <v>203</v>
      </c>
    </row>
    <row r="208">
      <c r="A208" s="9" t="n">
        <v>204</v>
      </c>
    </row>
    <row r="209">
      <c r="A209" s="9" t="n">
        <v>205</v>
      </c>
    </row>
    <row r="210">
      <c r="A210" s="9" t="n">
        <v>206</v>
      </c>
    </row>
    <row r="211">
      <c r="A211" s="9" t="n">
        <v>207</v>
      </c>
    </row>
    <row r="212">
      <c r="A212" s="9" t="n">
        <v>208</v>
      </c>
    </row>
    <row r="213">
      <c r="A213" s="9" t="n">
        <v>209</v>
      </c>
    </row>
    <row r="214">
      <c r="A214" s="9" t="n">
        <v>210</v>
      </c>
    </row>
    <row r="215">
      <c r="A215" s="9" t="n">
        <v>211</v>
      </c>
    </row>
    <row r="216">
      <c r="A216" s="9" t="n">
        <v>212</v>
      </c>
    </row>
    <row r="217">
      <c r="A217" s="9" t="n">
        <v>213</v>
      </c>
    </row>
    <row r="218">
      <c r="A218" s="9" t="n">
        <v>214</v>
      </c>
    </row>
    <row r="219">
      <c r="A219" s="9" t="n">
        <v>215</v>
      </c>
    </row>
    <row r="220">
      <c r="A220" s="9" t="n">
        <v>216</v>
      </c>
    </row>
    <row r="221">
      <c r="A221" s="9" t="n">
        <v>217</v>
      </c>
    </row>
    <row r="222">
      <c r="A222" s="9" t="n">
        <v>218</v>
      </c>
    </row>
    <row r="223">
      <c r="A223" s="9" t="n">
        <v>219</v>
      </c>
    </row>
    <row r="224">
      <c r="A224" s="9" t="n">
        <v>220</v>
      </c>
    </row>
    <row r="225">
      <c r="A225" s="9" t="n">
        <v>221</v>
      </c>
    </row>
    <row r="226">
      <c r="A226" s="9" t="n">
        <v>222</v>
      </c>
    </row>
    <row r="227">
      <c r="A227" s="9" t="n">
        <v>223</v>
      </c>
    </row>
    <row r="228">
      <c r="A228" s="9" t="n">
        <v>224</v>
      </c>
    </row>
    <row r="229">
      <c r="A229" s="9" t="n">
        <v>225</v>
      </c>
    </row>
    <row r="230">
      <c r="A230" s="9" t="n">
        <v>226</v>
      </c>
    </row>
    <row r="231">
      <c r="A231" s="9" t="n">
        <v>227</v>
      </c>
    </row>
    <row r="232">
      <c r="A232" s="9" t="n">
        <v>228</v>
      </c>
    </row>
    <row r="233">
      <c r="A233" s="9" t="n">
        <v>229</v>
      </c>
    </row>
    <row r="234">
      <c r="A234" s="9" t="n">
        <v>230</v>
      </c>
    </row>
    <row r="235">
      <c r="A235" s="9" t="n">
        <v>231</v>
      </c>
    </row>
    <row r="236">
      <c r="A236" s="9" t="n">
        <v>232</v>
      </c>
    </row>
    <row r="237">
      <c r="A237" s="9" t="n">
        <v>233</v>
      </c>
    </row>
    <row r="238">
      <c r="A238" s="9" t="n">
        <v>234</v>
      </c>
    </row>
    <row r="239">
      <c r="A239" s="9" t="n">
        <v>235</v>
      </c>
    </row>
    <row r="240">
      <c r="A240" s="9" t="n">
        <v>236</v>
      </c>
    </row>
    <row r="241">
      <c r="A241" s="9" t="n">
        <v>237</v>
      </c>
    </row>
    <row r="242">
      <c r="A242" s="9" t="n">
        <v>238</v>
      </c>
    </row>
    <row r="243">
      <c r="A243" s="9" t="n">
        <v>239</v>
      </c>
    </row>
    <row r="244">
      <c r="A244" s="9" t="n">
        <v>240</v>
      </c>
    </row>
    <row r="245">
      <c r="A245" s="9" t="n">
        <v>241</v>
      </c>
    </row>
    <row r="246">
      <c r="A246" s="9" t="n">
        <v>242</v>
      </c>
    </row>
    <row r="247">
      <c r="A247" s="9" t="n">
        <v>243</v>
      </c>
    </row>
    <row r="248">
      <c r="A248" s="9" t="n">
        <v>244</v>
      </c>
    </row>
    <row r="249">
      <c r="A249" s="9" t="n">
        <v>245</v>
      </c>
    </row>
    <row r="250">
      <c r="A250" s="9" t="n">
        <v>246</v>
      </c>
    </row>
    <row r="251">
      <c r="A251" s="9" t="n">
        <v>247</v>
      </c>
    </row>
    <row r="252">
      <c r="A252" s="9" t="n">
        <v>248</v>
      </c>
    </row>
    <row r="253">
      <c r="A253" s="9" t="n">
        <v>249</v>
      </c>
    </row>
    <row r="254">
      <c r="A254" s="9" t="n">
        <v>250</v>
      </c>
    </row>
    <row r="255">
      <c r="A255" s="9" t="n">
        <v>251</v>
      </c>
    </row>
    <row r="256">
      <c r="A256" s="9" t="n">
        <v>252</v>
      </c>
    </row>
    <row r="257">
      <c r="A257" s="9" t="n">
        <v>253</v>
      </c>
    </row>
    <row r="258">
      <c r="A258" s="9" t="n">
        <v>254</v>
      </c>
    </row>
    <row r="259">
      <c r="A259" s="9" t="n">
        <v>255</v>
      </c>
    </row>
    <row r="260">
      <c r="A260" s="9" t="n">
        <v>256</v>
      </c>
    </row>
    <row r="261">
      <c r="A261" s="9" t="n">
        <v>257</v>
      </c>
    </row>
    <row r="262">
      <c r="A262" s="9" t="n">
        <v>258</v>
      </c>
    </row>
    <row r="263">
      <c r="A263" s="9" t="n">
        <v>259</v>
      </c>
    </row>
    <row r="264">
      <c r="A264" s="9" t="n">
        <v>260</v>
      </c>
    </row>
    <row r="265">
      <c r="A265" s="9" t="n">
        <v>261</v>
      </c>
    </row>
    <row r="266">
      <c r="A266" s="9" t="n">
        <v>262</v>
      </c>
    </row>
    <row r="267">
      <c r="A267" s="9" t="n">
        <v>263</v>
      </c>
    </row>
    <row r="268">
      <c r="A268" s="9" t="n">
        <v>264</v>
      </c>
    </row>
    <row r="269">
      <c r="A269" s="9" t="n">
        <v>265</v>
      </c>
    </row>
    <row r="270">
      <c r="A270" s="9" t="n">
        <v>266</v>
      </c>
    </row>
    <row r="271">
      <c r="A271" s="9" t="n">
        <v>267</v>
      </c>
    </row>
    <row r="272">
      <c r="A272" s="9" t="n">
        <v>268</v>
      </c>
    </row>
    <row r="273">
      <c r="A273" s="9" t="n">
        <v>269</v>
      </c>
    </row>
    <row r="274">
      <c r="A274" s="9" t="n">
        <v>270</v>
      </c>
    </row>
    <row r="275">
      <c r="A275" s="9" t="n">
        <v>271</v>
      </c>
    </row>
    <row r="276">
      <c r="A276" s="9" t="n">
        <v>272</v>
      </c>
    </row>
    <row r="277">
      <c r="A277" s="9" t="n">
        <v>273</v>
      </c>
    </row>
    <row r="278">
      <c r="A278" s="9" t="n">
        <v>274</v>
      </c>
    </row>
    <row r="279">
      <c r="A279" s="9" t="n">
        <v>275</v>
      </c>
    </row>
    <row r="280">
      <c r="A280" s="9" t="n">
        <v>276</v>
      </c>
    </row>
    <row r="281">
      <c r="A281" s="9" t="n">
        <v>277</v>
      </c>
    </row>
    <row r="282">
      <c r="A282" s="9" t="n">
        <v>278</v>
      </c>
    </row>
    <row r="283">
      <c r="A283" s="9" t="n">
        <v>279</v>
      </c>
    </row>
    <row r="284">
      <c r="A284" s="9" t="n">
        <v>280</v>
      </c>
    </row>
    <row r="285">
      <c r="A285" s="9" t="n">
        <v>281</v>
      </c>
    </row>
    <row r="286">
      <c r="A286" s="9" t="n">
        <v>282</v>
      </c>
    </row>
    <row r="287">
      <c r="A287" s="9" t="n">
        <v>283</v>
      </c>
    </row>
    <row r="288">
      <c r="A288" s="9" t="n">
        <v>284</v>
      </c>
    </row>
    <row r="289">
      <c r="A289" s="9" t="n">
        <v>285</v>
      </c>
    </row>
    <row r="290">
      <c r="A290" s="9" t="n">
        <v>286</v>
      </c>
    </row>
    <row r="291">
      <c r="A291" s="9" t="n">
        <v>287</v>
      </c>
    </row>
    <row r="292">
      <c r="A292" s="9" t="n">
        <v>288</v>
      </c>
    </row>
    <row r="293">
      <c r="A293" s="9" t="n">
        <v>289</v>
      </c>
    </row>
    <row r="294">
      <c r="A294" s="9" t="n">
        <v>290</v>
      </c>
    </row>
    <row r="295">
      <c r="A295" s="9" t="n">
        <v>291</v>
      </c>
    </row>
    <row r="296">
      <c r="A296" s="9" t="n">
        <v>292</v>
      </c>
    </row>
    <row r="297">
      <c r="A297" s="9" t="n">
        <v>293</v>
      </c>
    </row>
    <row r="298">
      <c r="A298" s="9" t="n">
        <v>294</v>
      </c>
    </row>
    <row r="299">
      <c r="A299" s="9" t="n">
        <v>295</v>
      </c>
    </row>
    <row r="300">
      <c r="A300" s="9" t="n">
        <v>296</v>
      </c>
    </row>
    <row r="301">
      <c r="A301" s="9" t="n">
        <v>297</v>
      </c>
    </row>
    <row r="302">
      <c r="A302" s="9" t="n">
        <v>298</v>
      </c>
    </row>
    <row r="303">
      <c r="A303" s="9" t="n">
        <v>299</v>
      </c>
    </row>
    <row r="304">
      <c r="A304" s="9" t="n">
        <v>300</v>
      </c>
    </row>
  </sheetData>
  <mergeCells count="2">
    <mergeCell ref="A1:J1"/>
    <mergeCell ref="A2:J2"/>
  </mergeCells>
  <dataValidations count="1">
    <dataValidation sqref="B5:AL304" showDropDown="0" showInputMessage="0" showErrorMessage="0" allowBlank="1" errorTitle="Fra 1 til 5" error="Skriv et tall fra 1 til 5, eller la cellen stå tom." type="whole" operator="between">
      <formula1>1</formula1>
      <formula2>5</formula2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2" customWidth="1" min="4" max="4"/>
    <col width="10" customWidth="1" min="5" max="5"/>
    <col width="11" customWidth="1" min="6" max="6"/>
    <col width="10" customWidth="1" min="7" max="7"/>
    <col width="11" customWidth="1" min="8" max="8"/>
  </cols>
  <sheetData>
    <row r="1" ht="30" customHeight="1">
      <c r="A1" s="1" t="inlineStr">
        <is>
          <t>Oppsummering</t>
        </is>
      </c>
    </row>
    <row r="2" ht="32" customHeight="1">
      <c r="A2" s="6" t="inlineStr">
        <is>
          <t>Vises først når minst 10 har svart på spørsmålet (veiledningen s. 14).</t>
        </is>
      </c>
    </row>
    <row r="4" ht="32" customHeight="1">
      <c r="A4" s="10" t="inlineStr">
        <is>
          <t>Nr.</t>
        </is>
      </c>
      <c r="B4" s="10" t="inlineStr">
        <is>
          <t>Spørsmål</t>
        </is>
      </c>
      <c r="C4" s="10" t="inlineStr">
        <is>
          <t>Antall svar</t>
        </is>
      </c>
      <c r="D4" s="10" t="inlineStr">
        <is>
          <t>Middelverdi</t>
        </is>
      </c>
      <c r="E4" s="10" t="inlineStr">
        <is>
          <t>Median</t>
        </is>
      </c>
      <c r="F4" s="10" t="inlineStr">
        <is>
          <t>Andel 1–2</t>
        </is>
      </c>
      <c r="G4" s="10" t="inlineStr">
        <is>
          <t>Andel 3</t>
        </is>
      </c>
      <c r="H4" s="10" t="inlineStr">
        <is>
          <t>Andel 4–5</t>
        </is>
      </c>
    </row>
    <row r="5" ht="30" customHeight="1">
      <c r="A5" s="11" t="n">
        <v>1</v>
      </c>
      <c r="B5" s="12" t="inlineStr">
        <is>
          <t>Er arbeidsmengden din ujevn slik at den hoper seg opp?</t>
        </is>
      </c>
      <c r="C5" s="12">
        <f>COUNT(Svar!B$5:B$304)</f>
        <v/>
      </c>
      <c r="D5" s="12">
        <f>IF(C5&lt;10,"",ROUND(AVERAGE(Svar!B$5:B$304),2))</f>
        <v/>
      </c>
      <c r="E5" s="12">
        <f>IF(C5&lt;10,"",MEDIAN(Svar!B$5:B$304))</f>
        <v/>
      </c>
      <c r="F5" s="13">
        <f>IF(C5&lt;10,"",(COUNTIF(Svar!B$5:B$304,1)+COUNTIF(Svar!B$5:B$304,2))/C5)</f>
        <v/>
      </c>
      <c r="G5" s="13">
        <f>IF(C5&lt;10,"",COUNTIF(Svar!B$5:B$304,3)/C5)</f>
        <v/>
      </c>
      <c r="H5" s="13">
        <f>IF(C5&lt;10,"",(COUNTIF(Svar!B$5:B$304,4)+COUNTIF(Svar!B$5:B$304,5))/C5)</f>
        <v/>
      </c>
    </row>
    <row r="6" ht="30" customHeight="1">
      <c r="A6" s="11" t="n">
        <v>2</v>
      </c>
      <c r="B6" s="12" t="inlineStr">
        <is>
          <t>Har du for mye å gjøre?</t>
        </is>
      </c>
      <c r="C6" s="12">
        <f>COUNT(Svar!C$5:C$304)</f>
        <v/>
      </c>
      <c r="D6" s="12">
        <f>IF(C6&lt;10,"",ROUND(AVERAGE(Svar!C$5:C$304),2))</f>
        <v/>
      </c>
      <c r="E6" s="12">
        <f>IF(C6&lt;10,"",MEDIAN(Svar!C$5:C$304))</f>
        <v/>
      </c>
      <c r="F6" s="13">
        <f>IF(C6&lt;10,"",(COUNTIF(Svar!C$5:C$304,1)+COUNTIF(Svar!C$5:C$304,2))/C6)</f>
        <v/>
      </c>
      <c r="G6" s="13">
        <f>IF(C6&lt;10,"",COUNTIF(Svar!C$5:C$304,3)/C6)</f>
        <v/>
      </c>
      <c r="H6" s="13">
        <f>IF(C6&lt;10,"",(COUNTIF(Svar!C$5:C$304,4)+COUNTIF(Svar!C$5:C$304,5))/C6)</f>
        <v/>
      </c>
    </row>
    <row r="7" ht="30" customHeight="1">
      <c r="A7" s="11" t="n">
        <v>3</v>
      </c>
      <c r="B7" s="12" t="inlineStr">
        <is>
          <t>Er arbeidsoppgavene for vanskelige for deg?</t>
        </is>
      </c>
      <c r="C7" s="12">
        <f>COUNT(Svar!D$5:D$304)</f>
        <v/>
      </c>
      <c r="D7" s="12">
        <f>IF(C7&lt;10,"",ROUND(AVERAGE(Svar!D$5:D$304),2))</f>
        <v/>
      </c>
      <c r="E7" s="12">
        <f>IF(C7&lt;10,"",MEDIAN(Svar!D$5:D$304))</f>
        <v/>
      </c>
      <c r="F7" s="13">
        <f>IF(C7&lt;10,"",(COUNTIF(Svar!D$5:D$304,1)+COUNTIF(Svar!D$5:D$304,2))/C7)</f>
        <v/>
      </c>
      <c r="G7" s="13">
        <f>IF(C7&lt;10,"",COUNTIF(Svar!D$5:D$304,3)/C7)</f>
        <v/>
      </c>
      <c r="H7" s="13">
        <f>IF(C7&lt;10,"",(COUNTIF(Svar!D$5:D$304,4)+COUNTIF(Svar!D$5:D$304,5))/C7)</f>
        <v/>
      </c>
    </row>
    <row r="8" ht="30" customHeight="1">
      <c r="A8" s="11" t="n">
        <v>4</v>
      </c>
      <c r="B8" s="12" t="inlineStr">
        <is>
          <t>Utfører du arbeidsoppgaver som du trenger mer opplæring for å gjøre?</t>
        </is>
      </c>
      <c r="C8" s="12">
        <f>COUNT(Svar!E$5:E$304)</f>
        <v/>
      </c>
      <c r="D8" s="12">
        <f>IF(C8&lt;10,"",ROUND(AVERAGE(Svar!E$5:E$304),2))</f>
        <v/>
      </c>
      <c r="E8" s="12">
        <f>IF(C8&lt;10,"",MEDIAN(Svar!E$5:E$304))</f>
        <v/>
      </c>
      <c r="F8" s="13">
        <f>IF(C8&lt;10,"",(COUNTIF(Svar!E$5:E$304,1)+COUNTIF(Svar!E$5:E$304,2))/C8)</f>
        <v/>
      </c>
      <c r="G8" s="13">
        <f>IF(C8&lt;10,"",COUNTIF(Svar!E$5:E$304,3)/C8)</f>
        <v/>
      </c>
      <c r="H8" s="13">
        <f>IF(C8&lt;10,"",(COUNTIF(Svar!E$5:E$304,4)+COUNTIF(Svar!E$5:E$304,5))/C8)</f>
        <v/>
      </c>
    </row>
    <row r="9" ht="30" customHeight="1">
      <c r="A9" s="11" t="n">
        <v>5</v>
      </c>
      <c r="B9" s="12" t="inlineStr">
        <is>
          <t>Er dine spesialkunnskaper og ferdigheter nyttige i arbeidet ditt?</t>
        </is>
      </c>
      <c r="C9" s="12">
        <f>COUNT(Svar!F$5:F$304)</f>
        <v/>
      </c>
      <c r="D9" s="12">
        <f>IF(C9&lt;10,"",ROUND(AVERAGE(Svar!F$5:F$304),2))</f>
        <v/>
      </c>
      <c r="E9" s="12">
        <f>IF(C9&lt;10,"",MEDIAN(Svar!F$5:F$304))</f>
        <v/>
      </c>
      <c r="F9" s="13">
        <f>IF(C9&lt;10,"",(COUNTIF(Svar!F$5:F$304,1)+COUNTIF(Svar!F$5:F$304,2))/C9)</f>
        <v/>
      </c>
      <c r="G9" s="13">
        <f>IF(C9&lt;10,"",COUNTIF(Svar!F$5:F$304,3)/C9)</f>
        <v/>
      </c>
      <c r="H9" s="13">
        <f>IF(C9&lt;10,"",(COUNTIF(Svar!F$5:F$304,4)+COUNTIF(Svar!F$5:F$304,5))/C9)</f>
        <v/>
      </c>
    </row>
    <row r="10" ht="30" customHeight="1">
      <c r="A10" s="11" t="n">
        <v>6</v>
      </c>
      <c r="B10" s="12" t="inlineStr">
        <is>
          <t>Er arbeidet ditt utfordrende på en positiv måte?</t>
        </is>
      </c>
      <c r="C10" s="12">
        <f>COUNT(Svar!G$5:G$304)</f>
        <v/>
      </c>
      <c r="D10" s="12">
        <f>IF(C10&lt;10,"",ROUND(AVERAGE(Svar!G$5:G$304),2))</f>
        <v/>
      </c>
      <c r="E10" s="12">
        <f>IF(C10&lt;10,"",MEDIAN(Svar!G$5:G$304))</f>
        <v/>
      </c>
      <c r="F10" s="13">
        <f>IF(C10&lt;10,"",(COUNTIF(Svar!G$5:G$304,1)+COUNTIF(Svar!G$5:G$304,2))/C10)</f>
        <v/>
      </c>
      <c r="G10" s="13">
        <f>IF(C10&lt;10,"",COUNTIF(Svar!G$5:G$304,3)/C10)</f>
        <v/>
      </c>
      <c r="H10" s="13">
        <f>IF(C10&lt;10,"",(COUNTIF(Svar!G$5:G$304,4)+COUNTIF(Svar!G$5:G$304,5))/C10)</f>
        <v/>
      </c>
    </row>
    <row r="11" ht="30" customHeight="1">
      <c r="A11" s="11" t="n">
        <v>7</v>
      </c>
      <c r="B11" s="12" t="inlineStr">
        <is>
          <t>Er det fastsatt klare mål for din jobb?</t>
        </is>
      </c>
      <c r="C11" s="12">
        <f>COUNT(Svar!H$5:H$304)</f>
        <v/>
      </c>
      <c r="D11" s="12">
        <f>IF(C11&lt;10,"",ROUND(AVERAGE(Svar!H$5:H$304),2))</f>
        <v/>
      </c>
      <c r="E11" s="12">
        <f>IF(C11&lt;10,"",MEDIAN(Svar!H$5:H$304))</f>
        <v/>
      </c>
      <c r="F11" s="13">
        <f>IF(C11&lt;10,"",(COUNTIF(Svar!H$5:H$304,1)+COUNTIF(Svar!H$5:H$304,2))/C11)</f>
        <v/>
      </c>
      <c r="G11" s="13">
        <f>IF(C11&lt;10,"",COUNTIF(Svar!H$5:H$304,3)/C11)</f>
        <v/>
      </c>
      <c r="H11" s="13">
        <f>IF(C11&lt;10,"",(COUNTIF(Svar!H$5:H$304,4)+COUNTIF(Svar!H$5:H$304,5))/C11)</f>
        <v/>
      </c>
    </row>
    <row r="12" ht="30" customHeight="1">
      <c r="A12" s="11" t="n">
        <v>8</v>
      </c>
      <c r="B12" s="12" t="inlineStr">
        <is>
          <t>Vet du nøyaktig hva som forventes av deg i jobben?</t>
        </is>
      </c>
      <c r="C12" s="12">
        <f>COUNT(Svar!I$5:I$304)</f>
        <v/>
      </c>
      <c r="D12" s="12">
        <f>IF(C12&lt;10,"",ROUND(AVERAGE(Svar!I$5:I$304),2))</f>
        <v/>
      </c>
      <c r="E12" s="12">
        <f>IF(C12&lt;10,"",MEDIAN(Svar!I$5:I$304))</f>
        <v/>
      </c>
      <c r="F12" s="13">
        <f>IF(C12&lt;10,"",(COUNTIF(Svar!I$5:I$304,1)+COUNTIF(Svar!I$5:I$304,2))/C12)</f>
        <v/>
      </c>
      <c r="G12" s="13">
        <f>IF(C12&lt;10,"",COUNTIF(Svar!I$5:I$304,3)/C12)</f>
        <v/>
      </c>
      <c r="H12" s="13">
        <f>IF(C12&lt;10,"",(COUNTIF(Svar!I$5:I$304,4)+COUNTIF(Svar!I$5:I$304,5))/C12)</f>
        <v/>
      </c>
    </row>
    <row r="13" ht="30" customHeight="1">
      <c r="A13" s="11" t="n">
        <v>9</v>
      </c>
      <c r="B13" s="12" t="inlineStr">
        <is>
          <t>Mottar du motstridende forespørsler fra to eller flere personer?</t>
        </is>
      </c>
      <c r="C13" s="12">
        <f>COUNT(Svar!J$5:J$304)</f>
        <v/>
      </c>
      <c r="D13" s="12">
        <f>IF(C13&lt;10,"",ROUND(AVERAGE(Svar!J$5:J$304),2))</f>
        <v/>
      </c>
      <c r="E13" s="12">
        <f>IF(C13&lt;10,"",MEDIAN(Svar!J$5:J$304))</f>
        <v/>
      </c>
      <c r="F13" s="13">
        <f>IF(C13&lt;10,"",(COUNTIF(Svar!J$5:J$304,1)+COUNTIF(Svar!J$5:J$304,2))/C13)</f>
        <v/>
      </c>
      <c r="G13" s="13">
        <f>IF(C13&lt;10,"",COUNTIF(Svar!J$5:J$304,3)/C13)</f>
        <v/>
      </c>
      <c r="H13" s="13">
        <f>IF(C13&lt;10,"",(COUNTIF(Svar!J$5:J$304,4)+COUNTIF(Svar!J$5:J$304,5))/C13)</f>
        <v/>
      </c>
    </row>
    <row r="14" ht="30" customHeight="1">
      <c r="A14" s="11" t="n">
        <v>10</v>
      </c>
      <c r="B14" s="12" t="inlineStr">
        <is>
          <t>Kan du påvirke mengden av arbeid som blir tildelt deg?</t>
        </is>
      </c>
      <c r="C14" s="12">
        <f>COUNT(Svar!K$5:K$304)</f>
        <v/>
      </c>
      <c r="D14" s="12">
        <f>IF(C14&lt;10,"",ROUND(AVERAGE(Svar!K$5:K$304),2))</f>
        <v/>
      </c>
      <c r="E14" s="12">
        <f>IF(C14&lt;10,"",MEDIAN(Svar!K$5:K$304))</f>
        <v/>
      </c>
      <c r="F14" s="13">
        <f>IF(C14&lt;10,"",(COUNTIF(Svar!K$5:K$304,1)+COUNTIF(Svar!K$5:K$304,2))/C14)</f>
        <v/>
      </c>
      <c r="G14" s="13">
        <f>IF(C14&lt;10,"",COUNTIF(Svar!K$5:K$304,3)/C14)</f>
        <v/>
      </c>
      <c r="H14" s="13">
        <f>IF(C14&lt;10,"",(COUNTIF(Svar!K$5:K$304,4)+COUNTIF(Svar!K$5:K$304,5))/C14)</f>
        <v/>
      </c>
    </row>
    <row r="15" ht="30" customHeight="1">
      <c r="A15" s="11" t="n">
        <v>11</v>
      </c>
      <c r="B15" s="12" t="inlineStr">
        <is>
          <t>Kan du selv bestemme ditt arbeidstempo?</t>
        </is>
      </c>
      <c r="C15" s="12">
        <f>COUNT(Svar!L$5:L$304)</f>
        <v/>
      </c>
      <c r="D15" s="12">
        <f>IF(C15&lt;10,"",ROUND(AVERAGE(Svar!L$5:L$304),2))</f>
        <v/>
      </c>
      <c r="E15" s="12">
        <f>IF(C15&lt;10,"",MEDIAN(Svar!L$5:L$304))</f>
        <v/>
      </c>
      <c r="F15" s="13">
        <f>IF(C15&lt;10,"",(COUNTIF(Svar!L$5:L$304,1)+COUNTIF(Svar!L$5:L$304,2))/C15)</f>
        <v/>
      </c>
      <c r="G15" s="13">
        <f>IF(C15&lt;10,"",COUNTIF(Svar!L$5:L$304,3)/C15)</f>
        <v/>
      </c>
      <c r="H15" s="13">
        <f>IF(C15&lt;10,"",(COUNTIF(Svar!L$5:L$304,4)+COUNTIF(Svar!L$5:L$304,5))/C15)</f>
        <v/>
      </c>
    </row>
    <row r="16" ht="30" customHeight="1">
      <c r="A16" s="11" t="n">
        <v>12</v>
      </c>
      <c r="B16" s="12" t="inlineStr">
        <is>
          <t>Kan du selv bestemme når du skal ta pauser?</t>
        </is>
      </c>
      <c r="C16" s="12">
        <f>COUNT(Svar!M$5:M$304)</f>
        <v/>
      </c>
      <c r="D16" s="12">
        <f>IF(C16&lt;10,"",ROUND(AVERAGE(Svar!M$5:M$304),2))</f>
        <v/>
      </c>
      <c r="E16" s="12">
        <f>IF(C16&lt;10,"",MEDIAN(Svar!M$5:M$304))</f>
        <v/>
      </c>
      <c r="F16" s="13">
        <f>IF(C16&lt;10,"",(COUNTIF(Svar!M$5:M$304,1)+COUNTIF(Svar!M$5:M$304,2))/C16)</f>
        <v/>
      </c>
      <c r="G16" s="13">
        <f>IF(C16&lt;10,"",COUNTIF(Svar!M$5:M$304,3)/C16)</f>
        <v/>
      </c>
      <c r="H16" s="13">
        <f>IF(C16&lt;10,"",(COUNTIF(Svar!M$5:M$304,4)+COUNTIF(Svar!M$5:M$304,5))/C16)</f>
        <v/>
      </c>
    </row>
    <row r="17" ht="30" customHeight="1">
      <c r="A17" s="11" t="n">
        <v>13</v>
      </c>
      <c r="B17" s="12" t="inlineStr">
        <is>
          <t>Kan du påvirke beslutninger som er viktige for ditt arbeid?</t>
        </is>
      </c>
      <c r="C17" s="12">
        <f>COUNT(Svar!N$5:N$304)</f>
        <v/>
      </c>
      <c r="D17" s="12">
        <f>IF(C17&lt;10,"",ROUND(AVERAGE(Svar!N$5:N$304),2))</f>
        <v/>
      </c>
      <c r="E17" s="12">
        <f>IF(C17&lt;10,"",MEDIAN(Svar!N$5:N$304))</f>
        <v/>
      </c>
      <c r="F17" s="13">
        <f>IF(C17&lt;10,"",(COUNTIF(Svar!N$5:N$304,1)+COUNTIF(Svar!N$5:N$304,2))/C17)</f>
        <v/>
      </c>
      <c r="G17" s="13">
        <f>IF(C17&lt;10,"",COUNTIF(Svar!N$5:N$304,3)/C17)</f>
        <v/>
      </c>
      <c r="H17" s="13">
        <f>IF(C17&lt;10,"",(COUNTIF(Svar!N$5:N$304,4)+COUNTIF(Svar!N$5:N$304,5))/C17)</f>
        <v/>
      </c>
    </row>
    <row r="18" ht="30" customHeight="1">
      <c r="A18" s="11" t="n">
        <v>14</v>
      </c>
      <c r="B18" s="12" t="inlineStr">
        <is>
          <t>Vet du hva slags oppgaver du kan få en måned frem i tiden?</t>
        </is>
      </c>
      <c r="C18" s="12">
        <f>COUNT(Svar!O$5:O$304)</f>
        <v/>
      </c>
      <c r="D18" s="12">
        <f>IF(C18&lt;10,"",ROUND(AVERAGE(Svar!O$5:O$304),2))</f>
        <v/>
      </c>
      <c r="E18" s="12">
        <f>IF(C18&lt;10,"",MEDIAN(Svar!O$5:O$304))</f>
        <v/>
      </c>
      <c r="F18" s="13">
        <f>IF(C18&lt;10,"",(COUNTIF(Svar!O$5:O$304,1)+COUNTIF(Svar!O$5:O$304,2))/C18)</f>
        <v/>
      </c>
      <c r="G18" s="13">
        <f>IF(C18&lt;10,"",COUNTIF(Svar!O$5:O$304,3)/C18)</f>
        <v/>
      </c>
      <c r="H18" s="13">
        <f>IF(C18&lt;10,"",(COUNTIF(Svar!O$5:O$304,4)+COUNTIF(Svar!O$5:O$304,5))/C18)</f>
        <v/>
      </c>
    </row>
    <row r="19" ht="30" customHeight="1">
      <c r="A19" s="11" t="n">
        <v>15</v>
      </c>
      <c r="B19" s="12" t="inlineStr">
        <is>
          <t>Går det rykter om forandringer på din arbeidsplass?</t>
        </is>
      </c>
      <c r="C19" s="12">
        <f>COUNT(Svar!P$5:P$304)</f>
        <v/>
      </c>
      <c r="D19" s="12">
        <f>IF(C19&lt;10,"",ROUND(AVERAGE(Svar!P$5:P$304),2))</f>
        <v/>
      </c>
      <c r="E19" s="12">
        <f>IF(C19&lt;10,"",MEDIAN(Svar!P$5:P$304))</f>
        <v/>
      </c>
      <c r="F19" s="13">
        <f>IF(C19&lt;10,"",(COUNTIF(Svar!P$5:P$304,1)+COUNTIF(Svar!P$5:P$304,2))/C19)</f>
        <v/>
      </c>
      <c r="G19" s="13">
        <f>IF(C19&lt;10,"",COUNTIF(Svar!P$5:P$304,3)/C19)</f>
        <v/>
      </c>
      <c r="H19" s="13">
        <f>IF(C19&lt;10,"",(COUNTIF(Svar!P$5:P$304,4)+COUNTIF(Svar!P$5:P$304,5))/C19)</f>
        <v/>
      </c>
    </row>
    <row r="20" ht="30" customHeight="1">
      <c r="A20" s="11" t="n">
        <v>16</v>
      </c>
      <c r="B20" s="12" t="inlineStr">
        <is>
          <t>Er du fornøyd med din evne til å løse problemer som dukker opp i arbeidet?</t>
        </is>
      </c>
      <c r="C20" s="12">
        <f>COUNT(Svar!Q$5:Q$304)</f>
        <v/>
      </c>
      <c r="D20" s="12">
        <f>IF(C20&lt;10,"",ROUND(AVERAGE(Svar!Q$5:Q$304),2))</f>
        <v/>
      </c>
      <c r="E20" s="12">
        <f>IF(C20&lt;10,"",MEDIAN(Svar!Q$5:Q$304))</f>
        <v/>
      </c>
      <c r="F20" s="13">
        <f>IF(C20&lt;10,"",(COUNTIF(Svar!Q$5:Q$304,1)+COUNTIF(Svar!Q$5:Q$304,2))/C20)</f>
        <v/>
      </c>
      <c r="G20" s="13">
        <f>IF(C20&lt;10,"",COUNTIF(Svar!Q$5:Q$304,3)/C20)</f>
        <v/>
      </c>
      <c r="H20" s="13">
        <f>IF(C20&lt;10,"",(COUNTIF(Svar!Q$5:Q$304,4)+COUNTIF(Svar!Q$5:Q$304,5))/C20)</f>
        <v/>
      </c>
    </row>
    <row r="21" ht="30" customHeight="1">
      <c r="A21" s="11" t="n">
        <v>17</v>
      </c>
      <c r="B21" s="12" t="inlineStr">
        <is>
          <t>Om du trenger det, kan du få støtte og hjelp i ditt arbeid fra dine kollegaer?</t>
        </is>
      </c>
      <c r="C21" s="12">
        <f>COUNT(Svar!R$5:R$304)</f>
        <v/>
      </c>
      <c r="D21" s="12">
        <f>IF(C21&lt;10,"",ROUND(AVERAGE(Svar!R$5:R$304),2))</f>
        <v/>
      </c>
      <c r="E21" s="12">
        <f>IF(C21&lt;10,"",MEDIAN(Svar!R$5:R$304))</f>
        <v/>
      </c>
      <c r="F21" s="13">
        <f>IF(C21&lt;10,"",(COUNTIF(Svar!R$5:R$304,1)+COUNTIF(Svar!R$5:R$304,2))/C21)</f>
        <v/>
      </c>
      <c r="G21" s="13">
        <f>IF(C21&lt;10,"",COUNTIF(Svar!R$5:R$304,3)/C21)</f>
        <v/>
      </c>
      <c r="H21" s="13">
        <f>IF(C21&lt;10,"",(COUNTIF(Svar!R$5:R$304,4)+COUNTIF(Svar!R$5:R$304,5))/C21)</f>
        <v/>
      </c>
    </row>
    <row r="22" ht="30" customHeight="1">
      <c r="A22" s="11" t="n">
        <v>18</v>
      </c>
      <c r="B22" s="12" t="inlineStr">
        <is>
          <t>Om du trenger det, kan du få støtte og hjelp i ditt arbeid fra din nærmeste sjef?</t>
        </is>
      </c>
      <c r="C22" s="12">
        <f>COUNT(Svar!S$5:S$304)</f>
        <v/>
      </c>
      <c r="D22" s="12">
        <f>IF(C22&lt;10,"",ROUND(AVERAGE(Svar!S$5:S$304),2))</f>
        <v/>
      </c>
      <c r="E22" s="12">
        <f>IF(C22&lt;10,"",MEDIAN(Svar!S$5:S$304))</f>
        <v/>
      </c>
      <c r="F22" s="13">
        <f>IF(C22&lt;10,"",(COUNTIF(Svar!S$5:S$304,1)+COUNTIF(Svar!S$5:S$304,2))/C22)</f>
        <v/>
      </c>
      <c r="G22" s="13">
        <f>IF(C22&lt;10,"",COUNTIF(Svar!S$5:S$304,3)/C22)</f>
        <v/>
      </c>
      <c r="H22" s="13">
        <f>IF(C22&lt;10,"",(COUNTIF(Svar!S$5:S$304,4)+COUNTIF(Svar!S$5:S$304,5))/C22)</f>
        <v/>
      </c>
    </row>
    <row r="23" ht="30" customHeight="1">
      <c r="A23" s="11" t="n">
        <v>19</v>
      </c>
      <c r="B23" s="12" t="inlineStr">
        <is>
          <t>Blir dine arbeidsresultater verdsatt av din nærmeste sjef?</t>
        </is>
      </c>
      <c r="C23" s="12">
        <f>COUNT(Svar!T$5:T$304)</f>
        <v/>
      </c>
      <c r="D23" s="12">
        <f>IF(C23&lt;10,"",ROUND(AVERAGE(Svar!T$5:T$304),2))</f>
        <v/>
      </c>
      <c r="E23" s="12">
        <f>IF(C23&lt;10,"",MEDIAN(Svar!T$5:T$304))</f>
        <v/>
      </c>
      <c r="F23" s="13">
        <f>IF(C23&lt;10,"",(COUNTIF(Svar!T$5:T$304,1)+COUNTIF(Svar!T$5:T$304,2))/C23)</f>
        <v/>
      </c>
      <c r="G23" s="13">
        <f>IF(C23&lt;10,"",COUNTIF(Svar!T$5:T$304,3)/C23)</f>
        <v/>
      </c>
      <c r="H23" s="13">
        <f>IF(C23&lt;10,"",(COUNTIF(Svar!T$5:T$304,4)+COUNTIF(Svar!T$5:T$304,5))/C23)</f>
        <v/>
      </c>
    </row>
    <row r="24" ht="30" customHeight="1">
      <c r="A24" s="11" t="n">
        <v>20</v>
      </c>
      <c r="B24" s="12" t="inlineStr">
        <is>
          <t>Oppmuntrer din nærmeste sjef deg til å delta i viktige avgjørelser?</t>
        </is>
      </c>
      <c r="C24" s="12">
        <f>COUNT(Svar!U$5:U$304)</f>
        <v/>
      </c>
      <c r="D24" s="12">
        <f>IF(C24&lt;10,"",ROUND(AVERAGE(Svar!U$5:U$304),2))</f>
        <v/>
      </c>
      <c r="E24" s="12">
        <f>IF(C24&lt;10,"",MEDIAN(Svar!U$5:U$304))</f>
        <v/>
      </c>
      <c r="F24" s="13">
        <f>IF(C24&lt;10,"",(COUNTIF(Svar!U$5:U$304,1)+COUNTIF(Svar!U$5:U$304,2))/C24)</f>
        <v/>
      </c>
      <c r="G24" s="13">
        <f>IF(C24&lt;10,"",COUNTIF(Svar!U$5:U$304,3)/C24)</f>
        <v/>
      </c>
      <c r="H24" s="13">
        <f>IF(C24&lt;10,"",(COUNTIF(Svar!U$5:U$304,4)+COUNTIF(Svar!U$5:U$304,5))/C24)</f>
        <v/>
      </c>
    </row>
    <row r="25" ht="30" customHeight="1">
      <c r="A25" s="11" t="n">
        <v>21</v>
      </c>
      <c r="B25" s="12" t="inlineStr">
        <is>
          <t>Hjelper din nærmeste sjef deg med å utvikle dine ferdigheter?</t>
        </is>
      </c>
      <c r="C25" s="12">
        <f>COUNT(Svar!V$5:V$304)</f>
        <v/>
      </c>
      <c r="D25" s="12">
        <f>IF(C25&lt;10,"",ROUND(AVERAGE(Svar!V$5:V$304),2))</f>
        <v/>
      </c>
      <c r="E25" s="12">
        <f>IF(C25&lt;10,"",MEDIAN(Svar!V$5:V$304))</f>
        <v/>
      </c>
      <c r="F25" s="13">
        <f>IF(C25&lt;10,"",(COUNTIF(Svar!V$5:V$304,1)+COUNTIF(Svar!V$5:V$304,2))/C25)</f>
        <v/>
      </c>
      <c r="G25" s="13">
        <f>IF(C25&lt;10,"",COUNTIF(Svar!V$5:V$304,3)/C25)</f>
        <v/>
      </c>
      <c r="H25" s="13">
        <f>IF(C25&lt;10,"",(COUNTIF(Svar!V$5:V$304,4)+COUNTIF(Svar!V$5:V$304,5))/C25)</f>
        <v/>
      </c>
    </row>
    <row r="26" ht="30" customHeight="1">
      <c r="A26" s="11" t="n">
        <v>22</v>
      </c>
      <c r="B26" s="12" t="inlineStr">
        <is>
          <t>Føler du at du kan stole på at venner og familie vil støtte deg hvis det blir vanskelig på jobben?</t>
        </is>
      </c>
      <c r="C26" s="12">
        <f>COUNT(Svar!W$5:W$304)</f>
        <v/>
      </c>
      <c r="D26" s="12">
        <f>IF(C26&lt;10,"",ROUND(AVERAGE(Svar!W$5:W$304),2))</f>
        <v/>
      </c>
      <c r="E26" s="12">
        <f>IF(C26&lt;10,"",MEDIAN(Svar!W$5:W$304))</f>
        <v/>
      </c>
      <c r="F26" s="13">
        <f>IF(C26&lt;10,"",(COUNTIF(Svar!W$5:W$304,1)+COUNTIF(Svar!W$5:W$304,2))/C26)</f>
        <v/>
      </c>
      <c r="G26" s="13">
        <f>IF(C26&lt;10,"",COUNTIF(Svar!W$5:W$304,3)/C26)</f>
        <v/>
      </c>
      <c r="H26" s="13">
        <f>IF(C26&lt;10,"",(COUNTIF(Svar!W$5:W$304,4)+COUNTIF(Svar!W$5:W$304,5))/C26)</f>
        <v/>
      </c>
    </row>
    <row r="27" ht="30" customHeight="1">
      <c r="A27" s="11" t="n">
        <v>23</v>
      </c>
      <c r="B27" s="12" t="inlineStr">
        <is>
          <t>Hvordan er klimaet i din arbeidsenhet? Oppmuntrende og bemyndigende</t>
        </is>
      </c>
      <c r="C27" s="12">
        <f>COUNT(Svar!X$5:X$304)</f>
        <v/>
      </c>
      <c r="D27" s="12">
        <f>IF(C27&lt;10,"",ROUND(AVERAGE(Svar!X$5:X$304),2))</f>
        <v/>
      </c>
      <c r="E27" s="12">
        <f>IF(C27&lt;10,"",MEDIAN(Svar!X$5:X$304))</f>
        <v/>
      </c>
      <c r="F27" s="13">
        <f>IF(C27&lt;10,"",(COUNTIF(Svar!X$5:X$304,1)+COUNTIF(Svar!X$5:X$304,2))/C27)</f>
        <v/>
      </c>
      <c r="G27" s="13">
        <f>IF(C27&lt;10,"",COUNTIF(Svar!X$5:X$304,3)/C27)</f>
        <v/>
      </c>
      <c r="H27" s="13">
        <f>IF(C27&lt;10,"",(COUNTIF(Svar!X$5:X$304,4)+COUNTIF(Svar!X$5:X$304,5))/C27)</f>
        <v/>
      </c>
    </row>
    <row r="28" ht="30" customHeight="1">
      <c r="A28" s="11" t="n">
        <v>24</v>
      </c>
      <c r="B28" s="12" t="inlineStr">
        <is>
          <t>Hvordan er klimaet i din arbeidsenhet? Avslappet og behagelig</t>
        </is>
      </c>
      <c r="C28" s="12">
        <f>COUNT(Svar!Y$5:Y$304)</f>
        <v/>
      </c>
      <c r="D28" s="12">
        <f>IF(C28&lt;10,"",ROUND(AVERAGE(Svar!Y$5:Y$304),2))</f>
        <v/>
      </c>
      <c r="E28" s="12">
        <f>IF(C28&lt;10,"",MEDIAN(Svar!Y$5:Y$304))</f>
        <v/>
      </c>
      <c r="F28" s="13">
        <f>IF(C28&lt;10,"",(COUNTIF(Svar!Y$5:Y$304,1)+COUNTIF(Svar!Y$5:Y$304,2))/C28)</f>
        <v/>
      </c>
      <c r="G28" s="13">
        <f>IF(C28&lt;10,"",COUNTIF(Svar!Y$5:Y$304,3)/C28)</f>
        <v/>
      </c>
      <c r="H28" s="13">
        <f>IF(C28&lt;10,"",(COUNTIF(Svar!Y$5:Y$304,4)+COUNTIF(Svar!Y$5:Y$304,5))/C28)</f>
        <v/>
      </c>
    </row>
    <row r="29" ht="30" customHeight="1">
      <c r="A29" s="11" t="n">
        <v>25</v>
      </c>
      <c r="B29" s="12" t="inlineStr">
        <is>
          <t>Hvordan er klimaet i din arbeidsenhet? Stivbent og regelstyrt</t>
        </is>
      </c>
      <c r="C29" s="12">
        <f>COUNT(Svar!Z$5:Z$304)</f>
        <v/>
      </c>
      <c r="D29" s="12">
        <f>IF(C29&lt;10,"",ROUND(AVERAGE(Svar!Z$5:Z$304),2))</f>
        <v/>
      </c>
      <c r="E29" s="12">
        <f>IF(C29&lt;10,"",MEDIAN(Svar!Z$5:Z$304))</f>
        <v/>
      </c>
      <c r="F29" s="13">
        <f>IF(C29&lt;10,"",(COUNTIF(Svar!Z$5:Z$304,1)+COUNTIF(Svar!Z$5:Z$304,2))/C29)</f>
        <v/>
      </c>
      <c r="G29" s="13">
        <f>IF(C29&lt;10,"",COUNTIF(Svar!Z$5:Z$304,3)/C29)</f>
        <v/>
      </c>
      <c r="H29" s="13">
        <f>IF(C29&lt;10,"",(COUNTIF(Svar!Z$5:Z$304,4)+COUNTIF(Svar!Z$5:Z$304,5))/C29)</f>
        <v/>
      </c>
    </row>
    <row r="30" ht="30" customHeight="1">
      <c r="A30" s="11" t="n">
        <v>26</v>
      </c>
      <c r="B30" s="12" t="inlineStr">
        <is>
          <t>Setter du pris på å være medlem av arbeidsgruppen?</t>
        </is>
      </c>
      <c r="C30" s="12">
        <f>COUNT(Svar!AA$5:AA$304)</f>
        <v/>
      </c>
      <c r="D30" s="12">
        <f>IF(C30&lt;10,"",ROUND(AVERAGE(Svar!AA$5:AA$304),2))</f>
        <v/>
      </c>
      <c r="E30" s="12">
        <f>IF(C30&lt;10,"",MEDIAN(Svar!AA$5:AA$304))</f>
        <v/>
      </c>
      <c r="F30" s="13">
        <f>IF(C30&lt;10,"",(COUNTIF(Svar!AA$5:AA$304,1)+COUNTIF(Svar!AA$5:AA$304,2))/C30)</f>
        <v/>
      </c>
      <c r="G30" s="13">
        <f>IF(C30&lt;10,"",COUNTIF(Svar!AA$5:AA$304,3)/C30)</f>
        <v/>
      </c>
      <c r="H30" s="13">
        <f>IF(C30&lt;10,"",(COUNTIF(Svar!AA$5:AA$304,4)+COUNTIF(Svar!AA$5:AA$304,5))/C30)</f>
        <v/>
      </c>
    </row>
    <row r="31" ht="30" customHeight="1">
      <c r="A31" s="11" t="n">
        <v>27</v>
      </c>
      <c r="B31" s="12" t="inlineStr">
        <is>
          <t>Er gruppen din dyktig til å løse problemer?</t>
        </is>
      </c>
      <c r="C31" s="12">
        <f>COUNT(Svar!AB$5:AB$304)</f>
        <v/>
      </c>
      <c r="D31" s="12">
        <f>IF(C31&lt;10,"",ROUND(AVERAGE(Svar!AB$5:AB$304),2))</f>
        <v/>
      </c>
      <c r="E31" s="12">
        <f>IF(C31&lt;10,"",MEDIAN(Svar!AB$5:AB$304))</f>
        <v/>
      </c>
      <c r="F31" s="13">
        <f>IF(C31&lt;10,"",(COUNTIF(Svar!AB$5:AB$304,1)+COUNTIF(Svar!AB$5:AB$304,2))/C31)</f>
        <v/>
      </c>
      <c r="G31" s="13">
        <f>IF(C31&lt;10,"",COUNTIF(Svar!AB$5:AB$304,3)/C31)</f>
        <v/>
      </c>
      <c r="H31" s="13">
        <f>IF(C31&lt;10,"",(COUNTIF(Svar!AB$5:AB$304,4)+COUNTIF(Svar!AB$5:AB$304,5))/C31)</f>
        <v/>
      </c>
    </row>
    <row r="32" ht="30" customHeight="1">
      <c r="A32" s="11" t="n">
        <v>28</v>
      </c>
      <c r="B32" s="12" t="inlineStr">
        <is>
          <t>Blir de ansatte oppmuntret til å tenke ut måter for å gjøre tingene bedre på, på ditt arbeidssted?</t>
        </is>
      </c>
      <c r="C32" s="12">
        <f>COUNT(Svar!AC$5:AC$304)</f>
        <v/>
      </c>
      <c r="D32" s="12">
        <f>IF(C32&lt;10,"",ROUND(AVERAGE(Svar!AC$5:AC$304),2))</f>
        <v/>
      </c>
      <c r="E32" s="12">
        <f>IF(C32&lt;10,"",MEDIAN(Svar!AC$5:AC$304))</f>
        <v/>
      </c>
      <c r="F32" s="13">
        <f>IF(C32&lt;10,"",(COUNTIF(Svar!AC$5:AC$304,1)+COUNTIF(Svar!AC$5:AC$304,2))/C32)</f>
        <v/>
      </c>
      <c r="G32" s="13">
        <f>IF(C32&lt;10,"",COUNTIF(Svar!AC$5:AC$304,3)/C32)</f>
        <v/>
      </c>
      <c r="H32" s="13">
        <f>IF(C32&lt;10,"",(COUNTIF(Svar!AC$5:AC$304,4)+COUNTIF(Svar!AC$5:AC$304,5))/C32)</f>
        <v/>
      </c>
    </row>
    <row r="33" ht="30" customHeight="1">
      <c r="A33" s="11" t="n">
        <v>29</v>
      </c>
      <c r="B33" s="12" t="inlineStr">
        <is>
          <t>Er det god nok kommunikasjon i din avdeling?</t>
        </is>
      </c>
      <c r="C33" s="12">
        <f>COUNT(Svar!AD$5:AD$304)</f>
        <v/>
      </c>
      <c r="D33" s="12">
        <f>IF(C33&lt;10,"",ROUND(AVERAGE(Svar!AD$5:AD$304),2))</f>
        <v/>
      </c>
      <c r="E33" s="12">
        <f>IF(C33&lt;10,"",MEDIAN(Svar!AD$5:AD$304))</f>
        <v/>
      </c>
      <c r="F33" s="13">
        <f>IF(C33&lt;10,"",(COUNTIF(Svar!AD$5:AD$304,1)+COUNTIF(Svar!AD$5:AD$304,2))/C33)</f>
        <v/>
      </c>
      <c r="G33" s="13">
        <f>IF(C33&lt;10,"",COUNTIF(Svar!AD$5:AD$304,3)/C33)</f>
        <v/>
      </c>
      <c r="H33" s="13">
        <f>IF(C33&lt;10,"",(COUNTIF(Svar!AD$5:AD$304,4)+COUNTIF(Svar!AD$5:AD$304,5))/C33)</f>
        <v/>
      </c>
    </row>
    <row r="34" ht="30" customHeight="1">
      <c r="A34" s="11" t="n">
        <v>30</v>
      </c>
      <c r="B34" s="12" t="inlineStr">
        <is>
          <t>Har du lagt merke til forstyrrende konflikter mellom arbeidskollegaer?</t>
        </is>
      </c>
      <c r="C34" s="12">
        <f>COUNT(Svar!AE$5:AE$304)</f>
        <v/>
      </c>
      <c r="D34" s="12">
        <f>IF(C34&lt;10,"",ROUND(AVERAGE(Svar!AE$5:AE$304),2))</f>
        <v/>
      </c>
      <c r="E34" s="12">
        <f>IF(C34&lt;10,"",MEDIAN(Svar!AE$5:AE$304))</f>
        <v/>
      </c>
      <c r="F34" s="13">
        <f>IF(C34&lt;10,"",(COUNTIF(Svar!AE$5:AE$304,1)+COUNTIF(Svar!AE$5:AE$304,2))/C34)</f>
        <v/>
      </c>
      <c r="G34" s="13">
        <f>IF(C34&lt;10,"",COUNTIF(Svar!AE$5:AE$304,3)/C34)</f>
        <v/>
      </c>
      <c r="H34" s="13">
        <f>IF(C34&lt;10,"",(COUNTIF(Svar!AE$5:AE$304,4)+COUNTIF(Svar!AE$5:AE$304,5))/C34)</f>
        <v/>
      </c>
    </row>
    <row r="35" ht="30" customHeight="1">
      <c r="A35" s="11" t="n">
        <v>31</v>
      </c>
      <c r="B35" s="12" t="inlineStr">
        <is>
          <t>Har du lagt merke til om menn og kvinner blir behandlet ulikt på arbeidsstedet ditt?</t>
        </is>
      </c>
      <c r="C35" s="12">
        <f>COUNT(Svar!AF$5:AF$304)</f>
        <v/>
      </c>
      <c r="D35" s="12">
        <f>IF(C35&lt;10,"",ROUND(AVERAGE(Svar!AF$5:AF$304),2))</f>
        <v/>
      </c>
      <c r="E35" s="12">
        <f>IF(C35&lt;10,"",MEDIAN(Svar!AF$5:AF$304))</f>
        <v/>
      </c>
      <c r="F35" s="13">
        <f>IF(C35&lt;10,"",(COUNTIF(Svar!AF$5:AF$304,1)+COUNTIF(Svar!AF$5:AF$304,2))/C35)</f>
        <v/>
      </c>
      <c r="G35" s="13">
        <f>IF(C35&lt;10,"",COUNTIF(Svar!AF$5:AF$304,3)/C35)</f>
        <v/>
      </c>
      <c r="H35" s="13">
        <f>IF(C35&lt;10,"",(COUNTIF(Svar!AF$5:AF$304,4)+COUNTIF(Svar!AF$5:AF$304,5))/C35)</f>
        <v/>
      </c>
    </row>
    <row r="36" ht="30" customHeight="1">
      <c r="A36" s="11" t="n">
        <v>32</v>
      </c>
      <c r="B36" s="12" t="inlineStr">
        <is>
          <t>Har du lagt merke til om eldre og yngre arbeidstakere blir behandlet ulikt på arbeidsstedet ditt?</t>
        </is>
      </c>
      <c r="C36" s="12">
        <f>COUNT(Svar!AG$5:AG$304)</f>
        <v/>
      </c>
      <c r="D36" s="12">
        <f>IF(C36&lt;10,"",ROUND(AVERAGE(Svar!AG$5:AG$304),2))</f>
        <v/>
      </c>
      <c r="E36" s="12">
        <f>IF(C36&lt;10,"",MEDIAN(Svar!AG$5:AG$304))</f>
        <v/>
      </c>
      <c r="F36" s="13">
        <f>IF(C36&lt;10,"",(COUNTIF(Svar!AG$5:AG$304,1)+COUNTIF(Svar!AG$5:AG$304,2))/C36)</f>
        <v/>
      </c>
      <c r="G36" s="13">
        <f>IF(C36&lt;10,"",COUNTIF(Svar!AG$5:AG$304,3)/C36)</f>
        <v/>
      </c>
      <c r="H36" s="13">
        <f>IF(C36&lt;10,"",(COUNTIF(Svar!AG$5:AG$304,4)+COUNTIF(Svar!AG$5:AG$304,5))/C36)</f>
        <v/>
      </c>
    </row>
    <row r="37" ht="30" customHeight="1">
      <c r="A37" s="11" t="n">
        <v>33</v>
      </c>
      <c r="B37" s="12" t="inlineStr">
        <is>
          <t>Får du belønning for velgjort arbeid i din bedrift/virksomhet (penger, oppmuntring)?</t>
        </is>
      </c>
      <c r="C37" s="12">
        <f>COUNT(Svar!AH$5:AH$304)</f>
        <v/>
      </c>
      <c r="D37" s="12">
        <f>IF(C37&lt;10,"",ROUND(AVERAGE(Svar!AH$5:AH$304),2))</f>
        <v/>
      </c>
      <c r="E37" s="12">
        <f>IF(C37&lt;10,"",MEDIAN(Svar!AH$5:AH$304))</f>
        <v/>
      </c>
      <c r="F37" s="13">
        <f>IF(C37&lt;10,"",(COUNTIF(Svar!AH$5:AH$304,1)+COUNTIF(Svar!AH$5:AH$304,2))/C37)</f>
        <v/>
      </c>
      <c r="G37" s="13">
        <f>IF(C37&lt;10,"",COUNTIF(Svar!AH$5:AH$304,3)/C37)</f>
        <v/>
      </c>
      <c r="H37" s="13">
        <f>IF(C37&lt;10,"",(COUNTIF(Svar!AH$5:AH$304,4)+COUNTIF(Svar!AH$5:AH$304,5))/C37)</f>
        <v/>
      </c>
    </row>
    <row r="38" ht="30" customHeight="1">
      <c r="A38" s="11" t="n">
        <v>34</v>
      </c>
      <c r="B38" s="12" t="inlineStr">
        <is>
          <t>Hvor meget er ledelsen i din bedrift/virksomhet opptatt av den ansattes helse og velvære?</t>
        </is>
      </c>
      <c r="C38" s="12">
        <f>COUNT(Svar!AI$5:AI$304)</f>
        <v/>
      </c>
      <c r="D38" s="12">
        <f>IF(C38&lt;10,"",ROUND(AVERAGE(Svar!AI$5:AI$304),2))</f>
        <v/>
      </c>
      <c r="E38" s="12">
        <f>IF(C38&lt;10,"",MEDIAN(Svar!AI$5:AI$304))</f>
        <v/>
      </c>
      <c r="F38" s="13">
        <f>IF(C38&lt;10,"",(COUNTIF(Svar!AI$5:AI$304,1)+COUNTIF(Svar!AI$5:AI$304,2))/C38)</f>
        <v/>
      </c>
      <c r="G38" s="13">
        <f>IF(C38&lt;10,"",COUNTIF(Svar!AI$5:AI$304,3)/C38)</f>
        <v/>
      </c>
      <c r="H38" s="13">
        <f>IF(C38&lt;10,"",(COUNTIF(Svar!AI$5:AI$304,4)+COUNTIF(Svar!AI$5:AI$304,5))/C38)</f>
        <v/>
      </c>
    </row>
    <row r="39" ht="30" customHeight="1">
      <c r="A39" s="11" t="n">
        <v>35</v>
      </c>
      <c r="B39" s="12" t="inlineStr">
        <is>
          <t>Jeg liker å være opptatt av jobben min mesteparten av tiden.</t>
        </is>
      </c>
      <c r="C39" s="12">
        <f>COUNT(Svar!AJ$5:AJ$304)</f>
        <v/>
      </c>
      <c r="D39" s="12">
        <f>IF(C39&lt;10,"",ROUND(AVERAGE(Svar!AJ$5:AJ$304),2))</f>
        <v/>
      </c>
      <c r="E39" s="12">
        <f>IF(C39&lt;10,"",MEDIAN(Svar!AJ$5:AJ$304))</f>
        <v/>
      </c>
      <c r="F39" s="13">
        <f>IF(C39&lt;10,"",(COUNTIF(Svar!AJ$5:AJ$304,1)+COUNTIF(Svar!AJ$5:AJ$304,2))/C39)</f>
        <v/>
      </c>
      <c r="G39" s="13">
        <f>IF(C39&lt;10,"",COUNTIF(Svar!AJ$5:AJ$304,3)/C39)</f>
        <v/>
      </c>
      <c r="H39" s="13">
        <f>IF(C39&lt;10,"",(COUNTIF(Svar!AJ$5:AJ$304,4)+COUNTIF(Svar!AJ$5:AJ$304,5))/C39)</f>
        <v/>
      </c>
    </row>
    <row r="40" ht="30" customHeight="1">
      <c r="A40" s="11" t="n">
        <v>36</v>
      </c>
      <c r="B40" s="12" t="inlineStr">
        <is>
          <t>Den største tilfredsstillelsen i mitt liv kommer fra jobben.</t>
        </is>
      </c>
      <c r="C40" s="12">
        <f>COUNT(Svar!AK$5:AK$304)</f>
        <v/>
      </c>
      <c r="D40" s="12">
        <f>IF(C40&lt;10,"",ROUND(AVERAGE(Svar!AK$5:AK$304),2))</f>
        <v/>
      </c>
      <c r="E40" s="12">
        <f>IF(C40&lt;10,"",MEDIAN(Svar!AK$5:AK$304))</f>
        <v/>
      </c>
      <c r="F40" s="13">
        <f>IF(C40&lt;10,"",(COUNTIF(Svar!AK$5:AK$304,1)+COUNTIF(Svar!AK$5:AK$304,2))/C40)</f>
        <v/>
      </c>
      <c r="G40" s="13">
        <f>IF(C40&lt;10,"",COUNTIF(Svar!AK$5:AK$304,3)/C40)</f>
        <v/>
      </c>
      <c r="H40" s="13">
        <f>IF(C40&lt;10,"",(COUNTIF(Svar!AK$5:AK$304,4)+COUNTIF(Svar!AK$5:AK$304,5))/C40)</f>
        <v/>
      </c>
    </row>
    <row r="41" ht="30" customHeight="1">
      <c r="A41" s="11" t="n">
        <v>37</v>
      </c>
      <c r="B41" s="12" t="inlineStr">
        <is>
          <t>Føler du denne typen stress nå for tiden?</t>
        </is>
      </c>
      <c r="C41" s="12">
        <f>COUNT(Svar!AL$5:AL$304)</f>
        <v/>
      </c>
      <c r="D41" s="12">
        <f>IF(C41&lt;10,"",ROUND(AVERAGE(Svar!AL$5:AL$304),2))</f>
        <v/>
      </c>
      <c r="E41" s="12">
        <f>IF(C41&lt;10,"",MEDIAN(Svar!AL$5:AL$304))</f>
        <v/>
      </c>
      <c r="F41" s="13">
        <f>IF(C41&lt;10,"",(COUNTIF(Svar!AL$5:AL$304,1)+COUNTIF(Svar!AL$5:AL$304,2))/C41)</f>
        <v/>
      </c>
      <c r="G41" s="13">
        <f>IF(C41&lt;10,"",COUNTIF(Svar!AL$5:AL$304,3)/C41)</f>
        <v/>
      </c>
      <c r="H41" s="13">
        <f>IF(C41&lt;10,"",(COUNTIF(Svar!AL$5:AL$304,4)+COUNTIF(Svar!AL$5:AL$304,5))/C41)</f>
        <v/>
      </c>
    </row>
    <row r="43">
      <c r="A43" s="5" t="inlineStr">
        <is>
          <t>Laget av Orgpuls · orgpuls.no · Fri til bruk i egen virksomhet. Malen er et hjelpemiddel, ikke juridisk rådgivning.</t>
        </is>
      </c>
    </row>
  </sheetData>
  <mergeCells count="2">
    <mergeCell ref="A2:H2"/>
    <mergeCell ref="A1:H1"/>
  </mergeCells>
  <conditionalFormatting sqref="C5:C41">
    <cfRule type="expression" priority="1" dxfId="0">
      <formula>AND(C5&gt;0,C5&lt;10)</formula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2026-10-07T10:42:24Z</dcterms:created>
  <dcterms:modified xmlns:dcterms="http://purl.org/dc/terms/" xmlns:xsi="http://www.w3.org/2001/XMLSchema-instance" xsi:type="dcterms:W3CDTF">2026-10-07T10:42:24Z</dcterms:modified>
</cp:coreProperties>
</file>